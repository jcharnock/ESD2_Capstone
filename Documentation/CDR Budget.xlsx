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9">
      <text>
        <t xml:space="preserve">Based off research of security camera installation cost.</t>
      </text>
    </comment>
    <comment authorId="0" ref="H29">
      <text>
        <t xml:space="preserve">Based off research of security camera installation cost.</t>
      </text>
    </comment>
    <comment authorId="0" ref="H41">
      <text>
        <t xml:space="preserve">Based off research of security camera installation cost.</t>
      </text>
    </comment>
  </commentList>
</comments>
</file>

<file path=xl/sharedStrings.xml><?xml version="1.0" encoding="utf-8"?>
<sst xmlns="http://schemas.openxmlformats.org/spreadsheetml/2006/main" count="135" uniqueCount="53">
  <si>
    <t>Category</t>
  </si>
  <si>
    <t>Part Name</t>
  </si>
  <si>
    <t>Color</t>
  </si>
  <si>
    <t>Qty</t>
  </si>
  <si>
    <t>Units</t>
  </si>
  <si>
    <t>Supplier (Source)</t>
  </si>
  <si>
    <t>Unit Cost</t>
  </si>
  <si>
    <t>Cost</t>
  </si>
  <si>
    <t>Camera Wall Mount</t>
  </si>
  <si>
    <t>Heavy Duty Camera Bracket</t>
  </si>
  <si>
    <t>Beige</t>
  </si>
  <si>
    <t>SPECO TECHNOLOGIES</t>
  </si>
  <si>
    <t>Camera</t>
  </si>
  <si>
    <t>SVPRO 720p golf camera</t>
  </si>
  <si>
    <t>Black</t>
  </si>
  <si>
    <t>SVPRO</t>
  </si>
  <si>
    <t>Actual Budget Use</t>
  </si>
  <si>
    <t>Cost In USD</t>
  </si>
  <si>
    <t>Arducam IMX586</t>
  </si>
  <si>
    <t>Arducam</t>
  </si>
  <si>
    <t>Budget Remaining</t>
  </si>
  <si>
    <t>SoC</t>
  </si>
  <si>
    <t>Snickerdoodle</t>
  </si>
  <si>
    <t>Mouser</t>
  </si>
  <si>
    <t>Material Cost</t>
  </si>
  <si>
    <t>Auxillary Wiring</t>
  </si>
  <si>
    <t>U330-10M-AL</t>
  </si>
  <si>
    <t>Digikey</t>
  </si>
  <si>
    <t>Development Cost (so far)</t>
  </si>
  <si>
    <t>USBG-BREC304</t>
  </si>
  <si>
    <t>Total Cost</t>
  </si>
  <si>
    <t>Matlab License</t>
  </si>
  <si>
    <t>Startup Yearly</t>
  </si>
  <si>
    <t>1, for development</t>
  </si>
  <si>
    <t>Matlab</t>
  </si>
  <si>
    <t>Projected Completion Budget</t>
  </si>
  <si>
    <t>Total Cost (initial materials)</t>
  </si>
  <si>
    <t>R&amp;D / Salary(so far)</t>
  </si>
  <si>
    <t>Total Hours for all members</t>
  </si>
  <si>
    <t>6 people</t>
  </si>
  <si>
    <t>35$/hr</t>
  </si>
  <si>
    <t>Field Testing</t>
  </si>
  <si>
    <t>Cost to complete</t>
  </si>
  <si>
    <t>Projected Development Costs</t>
  </si>
  <si>
    <t>Field Testing Cost (court rentals)</t>
  </si>
  <si>
    <t>16 hr</t>
  </si>
  <si>
    <t>University of Rochester Courts</t>
  </si>
  <si>
    <t>$150/hr</t>
  </si>
  <si>
    <t>Field Testing Cost (man hours)</t>
  </si>
  <si>
    <t>$35/hr</t>
  </si>
  <si>
    <t>(per install)</t>
  </si>
  <si>
    <t>Install</t>
  </si>
  <si>
    <t>Total Cost (materials/per install)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</si>
</sst>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434343"/>
      <name val="Roboto"/>
    </font>
    <font>
      <u/>
      <color rgb="FF0000FF"/>
      <name val="Roboto"/>
    </font>
    <font>
      <color rgb="FF434343"/>
      <name val="Roboto"/>
    </font>
    <font>
      <color theme="1"/>
      <name val="Arial"/>
    </font>
    <font>
      <color rgb="FF1F1F1F"/>
      <name val="Roboto"/>
    </font>
    <font>
      <color rgb="FF1F1F1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3F3F3"/>
        <bgColor rgb="FFF3F3F3"/>
      </patternFill>
    </fill>
  </fills>
  <borders count="3">
    <border/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1" numFmtId="164" xfId="0" applyAlignment="1" applyBorder="1" applyFont="1" applyNumberFormat="1">
      <alignment readingOrder="0" shrinkToFit="0" vertical="center" wrapText="0"/>
    </xf>
    <xf borderId="1" fillId="0" fontId="1" numFmtId="164" xfId="0" applyAlignment="1" applyBorder="1" applyFont="1" applyNumberFormat="1">
      <alignment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1" numFmtId="165" xfId="0" applyAlignment="1" applyBorder="1" applyFont="1" applyNumberFormat="1">
      <alignment readingOrder="0" shrinkToFit="0" vertical="center" wrapText="0"/>
    </xf>
    <xf borderId="1" fillId="0" fontId="1" numFmtId="165" xfId="0" applyAlignment="1" applyBorder="1" applyFont="1" applyNumberFormat="1">
      <alignment shrinkToFit="0" vertical="center" wrapText="0"/>
    </xf>
    <xf borderId="2" fillId="0" fontId="1" numFmtId="0" xfId="0" applyAlignment="1" applyBorder="1" applyFont="1">
      <alignment readingOrder="0"/>
    </xf>
    <xf borderId="1" fillId="2" fontId="4" numFmtId="0" xfId="0" applyAlignment="1" applyBorder="1" applyFill="1" applyFont="1">
      <alignment shrinkToFit="0" vertical="center" wrapText="0"/>
    </xf>
    <xf borderId="1" fillId="2" fontId="4" numFmtId="0" xfId="0" applyAlignment="1" applyBorder="1" applyFont="1">
      <alignment horizontal="right" shrinkToFit="0" vertical="center" wrapText="0"/>
    </xf>
    <xf borderId="1" fillId="2" fontId="5" numFmtId="0" xfId="0" applyAlignment="1" applyBorder="1" applyFont="1">
      <alignment shrinkToFit="0" vertical="center" wrapText="0"/>
    </xf>
    <xf borderId="1" fillId="2" fontId="6" numFmtId="0" xfId="0" applyAlignment="1" applyBorder="1" applyFont="1">
      <alignment shrinkToFit="0" vertical="center" wrapText="0"/>
    </xf>
    <xf borderId="1" fillId="2" fontId="4" numFmtId="165" xfId="0" applyAlignment="1" applyBorder="1" applyFont="1" applyNumberFormat="1">
      <alignment horizontal="right" shrinkToFit="0" vertical="center" wrapText="0"/>
    </xf>
    <xf borderId="2" fillId="0" fontId="1" numFmtId="0" xfId="0" applyBorder="1" applyFont="1"/>
    <xf borderId="1" fillId="3" fontId="1" numFmtId="0" xfId="0" applyAlignment="1" applyBorder="1" applyFill="1" applyFont="1">
      <alignment readingOrder="0" shrinkToFit="0" vertical="center" wrapText="0"/>
    </xf>
    <xf borderId="1" fillId="3" fontId="1" numFmtId="0" xfId="0" applyAlignment="1" applyBorder="1" applyFont="1">
      <alignment shrinkToFit="0" vertical="center" wrapText="0"/>
    </xf>
    <xf borderId="1" fillId="3" fontId="1" numFmtId="164" xfId="0" applyAlignment="1" applyBorder="1" applyFont="1" applyNumberFormat="1">
      <alignment readingOrder="0" shrinkToFit="0" vertical="center" wrapText="0"/>
    </xf>
    <xf borderId="1" fillId="3" fontId="1" numFmtId="164" xfId="0" applyAlignment="1" applyBorder="1" applyFont="1" applyNumberFormat="1">
      <alignment shrinkToFit="0" vertical="center" wrapText="0"/>
    </xf>
    <xf borderId="1" fillId="0" fontId="7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BO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OM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OM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Actal Use of Budget ($30,000)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BOM!$L$4:$L$6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Projected Completion Budget Use 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BOM!$L$10:$L$13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layout>
        <c:manualLayout>
          <c:xMode val="edge"/>
          <c:yMode val="edge"/>
          <c:x val="-0.005"/>
          <c:y val="0.008086253369272238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457200</xdr:colOff>
      <xdr:row>1</xdr:row>
      <xdr:rowOff>266700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457200</xdr:colOff>
      <xdr:row>15</xdr:row>
      <xdr:rowOff>85725</xdr:rowOff>
    </xdr:from>
    <xdr:ext cx="7562850" cy="46672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6" displayName="Table1" name="Table1" id="1">
  <tableColumns count="8">
    <tableColumn name="Category" id="1"/>
    <tableColumn name="Part Name" id="2"/>
    <tableColumn name="Color" id="3"/>
    <tableColumn name="Qty" id="4"/>
    <tableColumn name="Units" id="5"/>
    <tableColumn name="Supplier (Source)" id="6"/>
    <tableColumn name="Unit Cost" id="7"/>
    <tableColumn name="Cost" id="8"/>
  </tableColumns>
  <tableStyleInfo name="BOM-style" showColumnStripes="0" showFirstColumn="1" showLastColumn="1" showRowStripes="1"/>
</table>
</file>

<file path=xl/tables/table2.xml><?xml version="1.0" encoding="utf-8"?>
<table xmlns="http://schemas.openxmlformats.org/spreadsheetml/2006/main" ref="A22:H30" displayName="Entry_Level_System" name="Entry_Level_System" id="2">
  <tableColumns count="8">
    <tableColumn name="Category" id="1"/>
    <tableColumn name="Part Name" id="2"/>
    <tableColumn name="Color" id="3"/>
    <tableColumn name="Qty" id="4"/>
    <tableColumn name="Units" id="5"/>
    <tableColumn name="Supplier (Source)" id="6"/>
    <tableColumn name="Unit Cost" id="7"/>
    <tableColumn name="Cost" id="8"/>
  </tableColumns>
  <tableStyleInfo name="BOM-style 2" showColumnStripes="0" showFirstColumn="1" showLastColumn="1" showRowStripes="1"/>
</table>
</file>

<file path=xl/tables/table3.xml><?xml version="1.0" encoding="utf-8"?>
<table xmlns="http://schemas.openxmlformats.org/spreadsheetml/2006/main" ref="A34:H42" displayName="Top_End_System" name="Top_End_System" id="3">
  <tableColumns count="8">
    <tableColumn name="Category" id="1"/>
    <tableColumn name="Part Name" id="2"/>
    <tableColumn name="Color" id="3"/>
    <tableColumn name="Qty" id="4"/>
    <tableColumn name="Units" id="5"/>
    <tableColumn name="Supplier (Source)" id="6"/>
    <tableColumn name="Unit Cost" id="7"/>
    <tableColumn name="Cost" id="8"/>
  </tableColumns>
  <tableStyleInfo name="BOM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igikey.com/en/products/detail/usbgear/USBG-BREC304/12349342?gclsrc=aw.ds&amp;gad_source=1&amp;gad_campaignid=20476884656&amp;gbraid=0AAAAADrbLlhCCg15QtFmQA2VlGavpYUuu&amp;gclid=CjwKCAjwhe3OBhABEiwA6392zFoeErSHyjapwz3YBznR63XcY3NWCgaAyq3i5LsZk83-mxAwjmySIBoCAr4QAvD_BwE" TargetMode="External"/><Relationship Id="rId22" Type="http://schemas.openxmlformats.org/officeDocument/2006/relationships/table" Target="../tables/table2.xml"/><Relationship Id="rId10" Type="http://schemas.openxmlformats.org/officeDocument/2006/relationships/hyperlink" Target="https://www.digikey.com/en/products/detail/eaton-tripp-lite/U330-10M-AL/15298381?gclsrc=aw.ds&amp;gad_source=1&amp;gad_campaignid=20050284185&amp;gbraid=0AAAAADrbLliqJM6kH2ru3dOx9oZSMd346&amp;gclid=CjwKCAjwhe3OBhABEiwA6392zOUp2uJmVzD-f4smJGaCs9RigHxIXsQNVaJG1ZTwX3cxv0vyhTYgpxoCYZkQAvD_BwE" TargetMode="External"/><Relationship Id="rId21" Type="http://schemas.openxmlformats.org/officeDocument/2006/relationships/table" Target="../tables/table1.xml"/><Relationship Id="rId13" Type="http://schemas.openxmlformats.org/officeDocument/2006/relationships/hyperlink" Target="https://www.mouser.com/c/?marcom=151086954" TargetMode="External"/><Relationship Id="rId12" Type="http://schemas.openxmlformats.org/officeDocument/2006/relationships/hyperlink" Target="https://www.grainger.com/product/49N891?gucid=N:N:PS:Paid:GGL:CSM-2295:RMXXOC:20800606:APZ_1&amp;gclsrc=aw.ds&amp;gad_source=1&amp;gad_campaignid=22465809093&amp;gclid=CjwKCAjw-dfOBhAjEiwAq0RwI1RCjSGz8amawDsr3RvKDxLkST6UtRyuaZpAtOxbDzmOFt7beFW9qhoCdfAQAvD_BwE" TargetMode="External"/><Relationship Id="rId23" Type="http://schemas.openxmlformats.org/officeDocument/2006/relationships/table" Target="../tables/table3.xml"/><Relationship Id="rId1" Type="http://schemas.openxmlformats.org/officeDocument/2006/relationships/comments" Target="../comments1.xml"/><Relationship Id="rId2" Type="http://schemas.openxmlformats.org/officeDocument/2006/relationships/hyperlink" Target="https://www.grainger.com/product/49N891?gucid=N:N:PS:Paid:GGL:CSM-2295:RMXXOC:20800606:APZ_1&amp;gclsrc=aw.ds&amp;gad_source=1&amp;gad_campaignid=22465809093&amp;gclid=CjwKCAjw-dfOBhAjEiwAq0RwI1RCjSGz8amawDsr3RvKDxLkST6UtRyuaZpAtOxbDzmOFt7beFW9qhoCdfAQAvD_BwE" TargetMode="External"/><Relationship Id="rId3" Type="http://schemas.openxmlformats.org/officeDocument/2006/relationships/hyperlink" Target="https://www.amazon.com/SVPRO-Camera-Varifocal-Optical-Computer/dp/B0DJQHP1CT" TargetMode="External"/><Relationship Id="rId4" Type="http://schemas.openxmlformats.org/officeDocument/2006/relationships/hyperlink" Target="https://www.mouser.com/c/?marcom=151086954" TargetMode="External"/><Relationship Id="rId9" Type="http://schemas.openxmlformats.org/officeDocument/2006/relationships/hyperlink" Target="https://www.mouser.com/c/?marcom=151086954" TargetMode="External"/><Relationship Id="rId15" Type="http://schemas.openxmlformats.org/officeDocument/2006/relationships/hyperlink" Target="https://www.digikey.com/en/products/detail/usbgear/USBG-BREC304/12349342?gclsrc=aw.ds&amp;gad_source=1&amp;gad_campaignid=20476884656&amp;gbraid=0AAAAADrbLlhCCg15QtFmQA2VlGavpYUuu&amp;gclid=CjwKCAjwhe3OBhABEiwA6392zFoeErSHyjapwz3YBznR63XcY3NWCgaAyq3i5LsZk83-mxAwjmySIBoCAr4QAvD_BwE" TargetMode="External"/><Relationship Id="rId14" Type="http://schemas.openxmlformats.org/officeDocument/2006/relationships/hyperlink" Target="https://www.digikey.com/en/products/detail/eaton-tripp-lite/U330-10M-AL/15298381?gclsrc=aw.ds&amp;gad_source=1&amp;gad_campaignid=20050284185&amp;gbraid=0AAAAADrbLliqJM6kH2ru3dOx9oZSMd346&amp;gclid=CjwKCAjwhe3OBhABEiwA6392zOUp2uJmVzD-f4smJGaCs9RigHxIXsQNVaJG1ZTwX3cxv0vyhTYgpxoCYZkQAvD_BwE" TargetMode="External"/><Relationship Id="rId17" Type="http://schemas.openxmlformats.org/officeDocument/2006/relationships/vmlDrawing" Target="../drawings/vmlDrawing1.vml"/><Relationship Id="rId16" Type="http://schemas.openxmlformats.org/officeDocument/2006/relationships/drawing" Target="../drawings/drawing1.xml"/><Relationship Id="rId5" Type="http://schemas.openxmlformats.org/officeDocument/2006/relationships/hyperlink" Target="https://www.digikey.com/en/products/detail/eaton-tripp-lite/U330-10M-AL/15298381?gclsrc=aw.ds&amp;gad_source=1&amp;gad_campaignid=20050284185&amp;gbraid=0AAAAADrbLliqJM6kH2ru3dOx9oZSMd346&amp;gclid=CjwKCAjwhe3OBhABEiwA6392zOUp2uJmVzD-f4smJGaCs9RigHxIXsQNVaJG1ZTwX3cxv0vyhTYgpxoCYZkQAvD_BwE" TargetMode="External"/><Relationship Id="rId6" Type="http://schemas.openxmlformats.org/officeDocument/2006/relationships/hyperlink" Target="https://www.digikey.com/en/products/detail/usbgear/USBG-BREC304/12349342?gclsrc=aw.ds&amp;gad_source=1&amp;gad_campaignid=20476884656&amp;gbraid=0AAAAADrbLlhCCg15QtFmQA2VlGavpYUuu&amp;gclid=CjwKCAjwhe3OBhABEiwA6392zFoeErSHyjapwz3YBznR63XcY3NWCgaAyq3i5LsZk83-mxAwjmySIBoCAr4QAvD_BwE" TargetMode="External"/><Relationship Id="rId7" Type="http://schemas.openxmlformats.org/officeDocument/2006/relationships/hyperlink" Target="https://www.grainger.com/product/49N891?gucid=N:N:PS:Paid:GGL:CSM-2295:RMXXOC:20800606:APZ_1&amp;gclsrc=aw.ds&amp;gad_source=1&amp;gad_campaignid=22465809093&amp;gclid=CjwKCAjw-dfOBhAjEiwAq0RwI1RCjSGz8amawDsr3RvKDxLkST6UtRyuaZpAtOxbDzmOFt7beFW9qhoCdfAQAvD_BwE" TargetMode="External"/><Relationship Id="rId8" Type="http://schemas.openxmlformats.org/officeDocument/2006/relationships/hyperlink" Target="https://www.amazon.com/SVPRO-Camera-Varifocal-Optical-Computer/dp/B0DJQHP1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5"/>
    <col customWidth="1" min="2" max="2" width="22.63"/>
    <col customWidth="1" min="4" max="4" width="14.75"/>
    <col customWidth="1" min="6" max="6" width="20.88"/>
    <col customWidth="1" min="10" max="10" width="12.38"/>
    <col customWidth="1" min="11" max="11" width="26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2" t="s">
        <v>9</v>
      </c>
      <c r="C2" s="2" t="s">
        <v>10</v>
      </c>
      <c r="D2" s="2">
        <v>4.0</v>
      </c>
      <c r="E2" s="3"/>
      <c r="F2" s="4" t="s">
        <v>11</v>
      </c>
      <c r="G2" s="5">
        <v>26.0</v>
      </c>
      <c r="H2" s="6">
        <f t="shared" ref="H2:H7" si="1">(G2*D2)</f>
        <v>104</v>
      </c>
    </row>
    <row r="3" ht="22.5" customHeight="1">
      <c r="A3" s="2" t="s">
        <v>12</v>
      </c>
      <c r="B3" s="2" t="s">
        <v>13</v>
      </c>
      <c r="C3" s="2" t="s">
        <v>14</v>
      </c>
      <c r="D3" s="2">
        <v>4.0</v>
      </c>
      <c r="E3" s="3"/>
      <c r="F3" s="7" t="s">
        <v>15</v>
      </c>
      <c r="G3" s="8">
        <v>90.99</v>
      </c>
      <c r="H3" s="9">
        <f t="shared" si="1"/>
        <v>363.96</v>
      </c>
      <c r="K3" s="10" t="s">
        <v>16</v>
      </c>
      <c r="L3" s="10" t="s">
        <v>17</v>
      </c>
    </row>
    <row r="4" ht="22.5" customHeight="1">
      <c r="A4" s="11" t="s">
        <v>12</v>
      </c>
      <c r="B4" s="11" t="s">
        <v>18</v>
      </c>
      <c r="C4" s="11" t="s">
        <v>14</v>
      </c>
      <c r="D4" s="12">
        <v>8.0</v>
      </c>
      <c r="E4" s="13"/>
      <c r="F4" s="14" t="s">
        <v>19</v>
      </c>
      <c r="G4" s="15">
        <v>149.99</v>
      </c>
      <c r="H4" s="15">
        <f t="shared" si="1"/>
        <v>1199.92</v>
      </c>
      <c r="K4" s="10" t="s">
        <v>20</v>
      </c>
      <c r="L4" s="10">
        <f>30000-SUM(L5:L6)</f>
        <v>15117.5</v>
      </c>
    </row>
    <row r="5" ht="22.5" customHeight="1">
      <c r="A5" s="2" t="s">
        <v>21</v>
      </c>
      <c r="B5" s="2" t="s">
        <v>22</v>
      </c>
      <c r="C5" s="2" t="s">
        <v>14</v>
      </c>
      <c r="D5" s="2">
        <v>1.0</v>
      </c>
      <c r="E5" s="3"/>
      <c r="F5" s="7" t="s">
        <v>23</v>
      </c>
      <c r="G5" s="5">
        <v>300.0</v>
      </c>
      <c r="H5" s="6">
        <f t="shared" si="1"/>
        <v>300</v>
      </c>
      <c r="K5" s="10" t="s">
        <v>24</v>
      </c>
      <c r="L5" s="10">
        <v>8922.0</v>
      </c>
    </row>
    <row r="6" ht="22.5" customHeight="1">
      <c r="A6" s="2" t="s">
        <v>25</v>
      </c>
      <c r="B6" s="2" t="s">
        <v>26</v>
      </c>
      <c r="C6" s="2" t="s">
        <v>14</v>
      </c>
      <c r="D6" s="2">
        <v>15.0</v>
      </c>
      <c r="E6" s="3"/>
      <c r="F6" s="7" t="s">
        <v>27</v>
      </c>
      <c r="G6" s="8">
        <v>118.96</v>
      </c>
      <c r="H6" s="9">
        <f t="shared" si="1"/>
        <v>1784.4</v>
      </c>
      <c r="K6" s="10" t="s">
        <v>28</v>
      </c>
      <c r="L6" s="10">
        <v>5960.5</v>
      </c>
    </row>
    <row r="7" ht="22.5" customHeight="1">
      <c r="A7" s="2" t="s">
        <v>25</v>
      </c>
      <c r="B7" s="2" t="s">
        <v>29</v>
      </c>
      <c r="C7" s="2" t="s">
        <v>14</v>
      </c>
      <c r="D7" s="2">
        <v>1.0</v>
      </c>
      <c r="E7" s="3"/>
      <c r="F7" s="4" t="s">
        <v>27</v>
      </c>
      <c r="G7" s="8">
        <v>44.53</v>
      </c>
      <c r="H7" s="9">
        <f t="shared" si="1"/>
        <v>44.53</v>
      </c>
      <c r="K7" s="10" t="s">
        <v>30</v>
      </c>
      <c r="L7" s="16">
        <f>SUM(L5:L6)</f>
        <v>14882.5</v>
      </c>
    </row>
    <row r="8" ht="22.5" customHeight="1">
      <c r="A8" s="17" t="s">
        <v>31</v>
      </c>
      <c r="B8" s="17" t="s">
        <v>32</v>
      </c>
      <c r="C8" s="18"/>
      <c r="D8" s="17" t="s">
        <v>33</v>
      </c>
      <c r="E8" s="17"/>
      <c r="F8" s="17" t="s">
        <v>34</v>
      </c>
      <c r="G8" s="19">
        <v>4235.0</v>
      </c>
      <c r="H8" s="17">
        <v>4325.0</v>
      </c>
    </row>
    <row r="9" ht="22.5" customHeight="1">
      <c r="A9" s="17"/>
      <c r="B9" s="18"/>
      <c r="C9" s="18"/>
      <c r="D9" s="17"/>
      <c r="E9" s="18"/>
      <c r="F9" s="18"/>
      <c r="G9" s="19"/>
      <c r="H9" s="17">
        <v>800.0</v>
      </c>
      <c r="K9" s="10" t="s">
        <v>35</v>
      </c>
      <c r="L9" s="10" t="s">
        <v>17</v>
      </c>
    </row>
    <row r="10" ht="22.5" customHeight="1">
      <c r="A10" s="2" t="s">
        <v>36</v>
      </c>
      <c r="B10" s="3"/>
      <c r="C10" s="3"/>
      <c r="D10" s="3"/>
      <c r="E10" s="3"/>
      <c r="F10" s="3"/>
      <c r="G10" s="3"/>
      <c r="H10" s="6">
        <f>SUM(H2:H9)</f>
        <v>8921.81</v>
      </c>
      <c r="K10" s="10" t="s">
        <v>20</v>
      </c>
      <c r="L10" s="10">
        <f>30000-SUM(L11:L13)</f>
        <v>3418</v>
      </c>
    </row>
    <row r="11" ht="22.5" customHeight="1">
      <c r="A11" s="2"/>
      <c r="B11" s="3"/>
      <c r="C11" s="3"/>
      <c r="D11" s="3"/>
      <c r="E11" s="3"/>
      <c r="F11" s="3"/>
      <c r="G11" s="3"/>
      <c r="H11" s="3"/>
      <c r="K11" s="10" t="s">
        <v>24</v>
      </c>
      <c r="L11" s="10">
        <v>8922.0</v>
      </c>
    </row>
    <row r="12" ht="22.5" customHeight="1">
      <c r="A12" s="2" t="s">
        <v>37</v>
      </c>
      <c r="B12" s="2" t="s">
        <v>38</v>
      </c>
      <c r="C12" s="2"/>
      <c r="D12" s="2">
        <v>170.5</v>
      </c>
      <c r="E12" s="2"/>
      <c r="F12" s="2" t="s">
        <v>39</v>
      </c>
      <c r="G12" s="2" t="s">
        <v>40</v>
      </c>
      <c r="H12" s="2">
        <v>5960.5</v>
      </c>
      <c r="K12" s="10" t="s">
        <v>41</v>
      </c>
      <c r="L12" s="16">
        <f>H14+H15</f>
        <v>5760</v>
      </c>
    </row>
    <row r="13" ht="22.5" customHeight="1">
      <c r="A13" s="2" t="s">
        <v>42</v>
      </c>
      <c r="B13" s="2" t="s">
        <v>38</v>
      </c>
      <c r="C13" s="3"/>
      <c r="D13" s="2">
        <v>340.0</v>
      </c>
      <c r="E13" s="3"/>
      <c r="F13" s="2" t="s">
        <v>39</v>
      </c>
      <c r="G13" s="2" t="s">
        <v>40</v>
      </c>
      <c r="H13" s="5">
        <v>11900.0</v>
      </c>
      <c r="K13" s="10" t="s">
        <v>43</v>
      </c>
      <c r="L13" s="10">
        <v>11900.0</v>
      </c>
    </row>
    <row r="14" ht="22.5" customHeight="1">
      <c r="A14" s="2" t="s">
        <v>44</v>
      </c>
      <c r="B14" s="3"/>
      <c r="C14" s="3"/>
      <c r="D14" s="2" t="s">
        <v>45</v>
      </c>
      <c r="E14" s="3"/>
      <c r="F14" s="2" t="s">
        <v>46</v>
      </c>
      <c r="G14" s="2" t="s">
        <v>47</v>
      </c>
      <c r="H14" s="3">
        <f>(150*16)</f>
        <v>2400</v>
      </c>
      <c r="K14" s="10" t="s">
        <v>30</v>
      </c>
      <c r="L14" s="16">
        <f>SUM(L11:L13)</f>
        <v>26582</v>
      </c>
    </row>
    <row r="15" ht="22.5" customHeight="1">
      <c r="A15" s="2" t="s">
        <v>48</v>
      </c>
      <c r="B15" s="3"/>
      <c r="C15" s="3"/>
      <c r="D15" s="2" t="s">
        <v>45</v>
      </c>
      <c r="E15" s="3"/>
      <c r="F15" s="2" t="s">
        <v>39</v>
      </c>
      <c r="G15" s="2" t="s">
        <v>49</v>
      </c>
      <c r="H15" s="3">
        <f>(35*6*16)</f>
        <v>3360</v>
      </c>
    </row>
    <row r="16" ht="22.5" customHeight="1">
      <c r="A16" s="2" t="s">
        <v>30</v>
      </c>
      <c r="B16" s="3"/>
      <c r="C16" s="3"/>
      <c r="D16" s="3"/>
      <c r="E16" s="3"/>
      <c r="F16" s="3"/>
      <c r="G16" s="3"/>
      <c r="H16" s="6">
        <f>SUM(H2:H9)+SUM(H13:H15)</f>
        <v>26581.81</v>
      </c>
    </row>
    <row r="22" ht="22.5" customHeight="1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</row>
    <row r="23" ht="22.5" customHeight="1">
      <c r="A23" s="2" t="s">
        <v>8</v>
      </c>
      <c r="B23" s="2" t="s">
        <v>9</v>
      </c>
      <c r="C23" s="2" t="s">
        <v>10</v>
      </c>
      <c r="D23" s="2">
        <v>4.0</v>
      </c>
      <c r="E23" s="3"/>
      <c r="F23" s="4" t="s">
        <v>11</v>
      </c>
      <c r="G23" s="5">
        <v>26.0</v>
      </c>
      <c r="H23" s="6">
        <f t="shared" ref="H23:H27" si="2">(G23*D23)</f>
        <v>104</v>
      </c>
    </row>
    <row r="24" ht="22.5" customHeight="1">
      <c r="A24" s="2" t="s">
        <v>12</v>
      </c>
      <c r="B24" s="2" t="s">
        <v>13</v>
      </c>
      <c r="C24" s="2" t="s">
        <v>14</v>
      </c>
      <c r="D24" s="2">
        <v>4.0</v>
      </c>
      <c r="E24" s="3"/>
      <c r="F24" s="7" t="s">
        <v>15</v>
      </c>
      <c r="G24" s="8">
        <v>90.99</v>
      </c>
      <c r="H24" s="9">
        <f t="shared" si="2"/>
        <v>363.96</v>
      </c>
    </row>
    <row r="25" ht="22.5" customHeight="1">
      <c r="A25" s="2" t="s">
        <v>21</v>
      </c>
      <c r="B25" s="2" t="s">
        <v>22</v>
      </c>
      <c r="C25" s="2" t="s">
        <v>14</v>
      </c>
      <c r="D25" s="2">
        <v>1.0</v>
      </c>
      <c r="E25" s="3"/>
      <c r="F25" s="7" t="s">
        <v>23</v>
      </c>
      <c r="G25" s="5">
        <v>300.0</v>
      </c>
      <c r="H25" s="6">
        <f t="shared" si="2"/>
        <v>300</v>
      </c>
    </row>
    <row r="26" ht="22.5" customHeight="1">
      <c r="A26" s="2" t="s">
        <v>25</v>
      </c>
      <c r="B26" s="2" t="s">
        <v>26</v>
      </c>
      <c r="C26" s="2" t="s">
        <v>14</v>
      </c>
      <c r="D26" s="2">
        <v>15.0</v>
      </c>
      <c r="E26" s="3"/>
      <c r="F26" s="7" t="s">
        <v>27</v>
      </c>
      <c r="G26" s="8">
        <v>118.96</v>
      </c>
      <c r="H26" s="9">
        <f t="shared" si="2"/>
        <v>1784.4</v>
      </c>
    </row>
    <row r="27" ht="22.5" customHeight="1">
      <c r="A27" s="2" t="s">
        <v>25</v>
      </c>
      <c r="B27" s="2" t="s">
        <v>29</v>
      </c>
      <c r="C27" s="2" t="s">
        <v>14</v>
      </c>
      <c r="D27" s="2">
        <v>1.0</v>
      </c>
      <c r="E27" s="3"/>
      <c r="F27" s="4" t="s">
        <v>27</v>
      </c>
      <c r="G27" s="8">
        <v>44.53</v>
      </c>
      <c r="H27" s="9">
        <f t="shared" si="2"/>
        <v>44.53</v>
      </c>
    </row>
    <row r="28" ht="22.5" customHeight="1">
      <c r="A28" s="17" t="s">
        <v>31</v>
      </c>
      <c r="B28" s="17" t="s">
        <v>32</v>
      </c>
      <c r="C28" s="17"/>
      <c r="D28" s="17" t="s">
        <v>50</v>
      </c>
      <c r="E28" s="3"/>
      <c r="F28" s="17" t="s">
        <v>34</v>
      </c>
      <c r="G28" s="19">
        <v>4235.0</v>
      </c>
      <c r="H28" s="17">
        <v>4325.0</v>
      </c>
    </row>
    <row r="29" ht="22.5" customHeight="1">
      <c r="A29" s="17" t="s">
        <v>51</v>
      </c>
      <c r="B29" s="18"/>
      <c r="C29" s="18"/>
      <c r="D29" s="17">
        <v>1.0</v>
      </c>
      <c r="E29" s="18"/>
      <c r="F29" s="18"/>
      <c r="G29" s="19">
        <v>800.0</v>
      </c>
      <c r="H29" s="20">
        <f>(G29*D29)</f>
        <v>800</v>
      </c>
    </row>
    <row r="30" ht="22.5" customHeight="1">
      <c r="A30" s="2" t="s">
        <v>52</v>
      </c>
      <c r="B30" s="3"/>
      <c r="C30" s="3"/>
      <c r="D30" s="3"/>
      <c r="E30" s="3"/>
      <c r="F30" s="3"/>
      <c r="G30" s="3"/>
      <c r="H30" s="6">
        <f>SUM(H23:H29)</f>
        <v>7721.89</v>
      </c>
    </row>
    <row r="34" ht="22.5" customHeight="1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G34" s="1" t="s">
        <v>6</v>
      </c>
      <c r="H34" s="1" t="s">
        <v>7</v>
      </c>
    </row>
    <row r="35" ht="22.5" customHeight="1">
      <c r="A35" s="2" t="s">
        <v>8</v>
      </c>
      <c r="B35" s="2" t="s">
        <v>9</v>
      </c>
      <c r="C35" s="2" t="s">
        <v>10</v>
      </c>
      <c r="D35" s="2">
        <v>8.0</v>
      </c>
      <c r="E35" s="3"/>
      <c r="F35" s="4" t="s">
        <v>11</v>
      </c>
      <c r="G35" s="5">
        <v>26.0</v>
      </c>
      <c r="H35" s="6">
        <f t="shared" ref="H35:H39" si="3">(G35*D35)</f>
        <v>208</v>
      </c>
    </row>
    <row r="36" ht="22.5" customHeight="1">
      <c r="A36" s="2" t="s">
        <v>12</v>
      </c>
      <c r="B36" s="2" t="s">
        <v>18</v>
      </c>
      <c r="C36" s="2" t="s">
        <v>14</v>
      </c>
      <c r="D36" s="2">
        <v>8.0</v>
      </c>
      <c r="E36" s="3"/>
      <c r="F36" s="21" t="s">
        <v>19</v>
      </c>
      <c r="G36" s="8">
        <v>149.99</v>
      </c>
      <c r="H36" s="9">
        <f t="shared" si="3"/>
        <v>1199.92</v>
      </c>
    </row>
    <row r="37" ht="22.5" customHeight="1">
      <c r="A37" s="2" t="s">
        <v>21</v>
      </c>
      <c r="B37" s="2" t="s">
        <v>22</v>
      </c>
      <c r="C37" s="2" t="s">
        <v>14</v>
      </c>
      <c r="D37" s="2">
        <v>1.0</v>
      </c>
      <c r="E37" s="3"/>
      <c r="F37" s="7" t="s">
        <v>23</v>
      </c>
      <c r="G37" s="5">
        <v>300.0</v>
      </c>
      <c r="H37" s="6">
        <f t="shared" si="3"/>
        <v>300</v>
      </c>
    </row>
    <row r="38" ht="22.5" customHeight="1">
      <c r="A38" s="2" t="s">
        <v>25</v>
      </c>
      <c r="B38" s="2" t="s">
        <v>26</v>
      </c>
      <c r="C38" s="2" t="s">
        <v>14</v>
      </c>
      <c r="D38" s="2">
        <v>15.0</v>
      </c>
      <c r="E38" s="3"/>
      <c r="F38" s="7" t="s">
        <v>27</v>
      </c>
      <c r="G38" s="8">
        <v>118.96</v>
      </c>
      <c r="H38" s="9">
        <f t="shared" si="3"/>
        <v>1784.4</v>
      </c>
    </row>
    <row r="39" ht="22.5" customHeight="1">
      <c r="A39" s="2" t="s">
        <v>25</v>
      </c>
      <c r="B39" s="2" t="s">
        <v>29</v>
      </c>
      <c r="C39" s="2" t="s">
        <v>14</v>
      </c>
      <c r="D39" s="2">
        <v>1.0</v>
      </c>
      <c r="E39" s="3"/>
      <c r="F39" s="4" t="s">
        <v>27</v>
      </c>
      <c r="G39" s="8">
        <v>44.53</v>
      </c>
      <c r="H39" s="9">
        <f t="shared" si="3"/>
        <v>44.53</v>
      </c>
    </row>
    <row r="40" ht="22.5" customHeight="1">
      <c r="A40" s="17" t="s">
        <v>31</v>
      </c>
      <c r="B40" s="17" t="s">
        <v>32</v>
      </c>
      <c r="C40" s="18"/>
      <c r="D40" s="17" t="s">
        <v>50</v>
      </c>
      <c r="E40" s="3"/>
      <c r="F40" s="17" t="s">
        <v>34</v>
      </c>
      <c r="G40" s="19">
        <v>4235.0</v>
      </c>
      <c r="H40" s="17">
        <v>4325.0</v>
      </c>
    </row>
    <row r="41" ht="22.5" customHeight="1">
      <c r="A41" s="17" t="s">
        <v>51</v>
      </c>
      <c r="B41" s="18"/>
      <c r="C41" s="18"/>
      <c r="D41" s="17">
        <v>1.0</v>
      </c>
      <c r="E41" s="18"/>
      <c r="F41" s="18"/>
      <c r="G41" s="19">
        <v>1600.0</v>
      </c>
      <c r="H41" s="20">
        <f>(G41*D41)</f>
        <v>1600</v>
      </c>
    </row>
    <row r="42" ht="22.5" customHeight="1">
      <c r="A42" s="2" t="s">
        <v>52</v>
      </c>
      <c r="B42" s="3"/>
      <c r="C42" s="3"/>
      <c r="D42" s="3"/>
      <c r="E42" s="3"/>
      <c r="F42" s="3"/>
      <c r="G42" s="3"/>
      <c r="H42" s="6">
        <f>SUM(H35:H41)</f>
        <v>9461.85</v>
      </c>
    </row>
  </sheetData>
  <hyperlinks>
    <hyperlink r:id="rId2" ref="F2"/>
    <hyperlink r:id="rId3" location="averageCustomerReviewsAnchor" ref="F3"/>
    <hyperlink r:id="rId4" ref="F5"/>
    <hyperlink r:id="rId5" ref="F6"/>
    <hyperlink r:id="rId6" ref="F7"/>
    <hyperlink r:id="rId7" ref="F23"/>
    <hyperlink r:id="rId8" location="averageCustomerReviewsAnchor" ref="F24"/>
    <hyperlink r:id="rId9" ref="F25"/>
    <hyperlink r:id="rId10" ref="F26"/>
    <hyperlink r:id="rId11" ref="F27"/>
    <hyperlink r:id="rId12" ref="F35"/>
    <hyperlink r:id="rId13" ref="F37"/>
    <hyperlink r:id="rId14" ref="F38"/>
    <hyperlink r:id="rId15" ref="F39"/>
  </hyperlinks>
  <drawing r:id="rId16"/>
  <legacyDrawing r:id="rId17"/>
  <tableParts count="3">
    <tablePart r:id="rId21"/>
    <tablePart r:id="rId22"/>
    <tablePart r:id="rId23"/>
  </tableParts>
</worksheet>
</file>